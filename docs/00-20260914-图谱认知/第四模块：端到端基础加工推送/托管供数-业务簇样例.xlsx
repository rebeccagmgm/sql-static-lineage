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97f799f7d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托管簇总览" sheetId="1" r:id="Re8457b7e5e9f49f0"/>
    <x:sheet xmlns:r="http://schemas.openxmlformats.org/officeDocument/2006/relationships" name="01供数链路" sheetId="2" r:id="Rd047523429e0454f"/>
    <x:sheet xmlns:r="http://schemas.openxmlformats.org/officeDocument/2006/relationships" name="02涉及表" sheetId="3" r:id="Ra82924cd245e4808"/>
    <x:sheet xmlns:r="http://schemas.openxmlformats.org/officeDocument/2006/relationships" name="03调度与依据" sheetId="4" r:id="R4cd7c895e9ef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5">
    <x:font>
      <x:sz val="11"/>
      <x:name val="Carlito"/>
    </x:font>
    <x:font>
      <x:sz val="11"/>
      <x:color rgb="FF21364A"/>
      <x:name val="Arial"/>
    </x:font>
    <x:font>
      <x:b/>
      <x:sz val="18"/>
      <x:color rgb="FF21364A"/>
      <x:name val="Arial"/>
    </x:font>
    <x:font>
      <x:i/>
      <x:sz val="10"/>
      <x:color rgb="FF647484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A69"/>
      </x:patternFill>
    </x:fill>
  </x:fills>
  <x:borders count="5">
    <x:border/>
    <x:border>
      <x:bottom style="thin">
        <x:color rgb="FFDCE4E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0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a1570a5c44e2f" /><Relationship Type="http://schemas.openxmlformats.org/officeDocument/2006/relationships/theme" Target="/xl/theme/theme1.xml" Id="Rb071f956e38f4551" /><Relationship Type="http://schemas.openxmlformats.org/officeDocument/2006/relationships/sharedStrings" Target="/xl/sharedStrings.xml" Id="R19ee691a73114391" /><Relationship Type="http://schemas.openxmlformats.org/officeDocument/2006/relationships/worksheet" Target="/xl/worksheets/sheet1.xml" Id="Re8457b7e5e9f49f0" /><Relationship Type="http://schemas.openxmlformats.org/officeDocument/2006/relationships/worksheet" Target="/xl/worksheets/sheet2.xml" Id="Rd047523429e0454f" /><Relationship Type="http://schemas.openxmlformats.org/officeDocument/2006/relationships/worksheet" Target="/xl/worksheets/sheet3.xml" Id="Ra82924cd245e4808" /><Relationship Type="http://schemas.openxmlformats.org/officeDocument/2006/relationships/worksheet" Target="/xl/worksheets/sheet4.xml" Id="R4cd7c895e9ef4967" /></Relationships>
</file>

<file path=xl/tables/table1.xml><?xml version="1.0" encoding="utf-8"?>
<x:table xmlns:x="http://schemas.openxmlformats.org/spreadsheetml/2006/main" id="1" name="CustodyFlows" displayName="CustodyFlows" ref="A5:H13" headerRowCount="1" totalsRowCount="0" totalsRowShown="0">
  <x:autoFilter ref="A5:H13"/>
  <x:tableColumns count="8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ustodyTables" displayName="CustodyTables" ref="A5:G34" headerRowCount="1" totalsRowCount="0" totalsRowShown="0">
  <x:autoFilter ref="A5:G34"/>
  <x:tableColumns count="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CustodyTasks" displayName="CustodyTasks" ref="A5:F20" headerRowCount="1" totalsRowCount="0" totalsRowShown="0">
  <x:autoFilter ref="A5:F20"/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c74bc3e8af43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91597b2a474f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d5ab6039e345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6" hidden="0" customWidth="1"/>
    <x:col min="3" max="3" width="55" hidden="0" customWidth="1"/>
    <x:col min="4" max="4" width="47" hidden="0" customWidth="1"/>
    <x:col min="5" max="5" width="38" hidden="0" customWidth="1"/>
    <x:col min="6" max="6" width="28" hidden="0" customWidth="1"/>
  </x:cols>
  <x:sheetData>
    <x:row r="1" ht="30" customHeight="1">
      <x:c r="A1" s="5" t="str">
        <x:v>托管供数：托管监控簇</x:v>
      </x:c>
      <x:c r="B1" s="4"/>
      <x:c r="C1" s="4"/>
      <x:c r="D1" s="4"/>
      <x:c r="E1" s="4"/>
      <x:c r="F1" s="4"/>
    </x:row>
    <x:row r="2" ht="22" customHeight="1">
      <x:c r="A2" s="6" t="str">
        <x:v>本方系统：TIT、运管（gf_otc）。本簇接收端：TIT。图谱发布：2026-09-16；核对：2026-09-18。</x:v>
      </x:c>
      <x:c r="B2" s="4"/>
      <x:c r="C2" s="4"/>
      <x:c r="D2" s="4"/>
      <x:c r="E2" s="4"/>
      <x:c r="F2" s="4"/>
    </x:row>
    <x:row r="3" ht="8" customHeight="1">
      <x:c r="A3" s="7"/>
      <x:c r="B3" s="7"/>
      <x:c r="C3" s="7"/>
      <x:c r="D3" s="7"/>
      <x:c r="E3" s="7"/>
      <x:c r="F3" s="7"/>
    </x:row>
    <x:row r="4">
      <x:c r="A4" s="3"/>
      <x:c r="B4" s="3"/>
      <x:c r="C4" s="3"/>
      <x:c r="D4" s="3"/>
      <x:c r="E4" s="3"/>
      <x:c r="F4" s="3"/>
    </x:row>
    <x:row r="5" ht="30" customHeight="1">
      <x:c r="A5" s="16" t="str">
        <x:v>业务簇</x:v>
      </x:c>
      <x:c r="B5" s="17" t="str">
        <x:v>交付内容</x:v>
      </x:c>
      <x:c r="C5" s="17" t="str">
        <x:v>接收系统、表及注释</x:v>
      </x:c>
      <x:c r="D5" s="17" t="str">
        <x:v>直接输入</x:v>
      </x:c>
      <x:c r="E5" s="17" t="str">
        <x:v>关系形态</x:v>
      </x:c>
      <x:c r="F5" s="18" t="str">
        <x:v>加工性质</x:v>
      </x:c>
    </x:row>
    <x:row r="6" ht="90" customHeight="1">
      <x:c r="A6" s="3" t="str">
        <x:v>托管产品监控</x:v>
      </x:c>
      <x:c r="B6" s="3" t="str">
        <x:v>规则说明、预警类型、实际值、违规值等监控结果，带产品及管理人信息。</x:v>
      </x:c>
      <x:c r="C6" s="3" t="str">
        <x:v>TIT
titans_etl.trans_hedge_monitor_result
托管部私募估值监控结果</x:v>
      </x:c>
      <x:c r="D6" s="3" t="str">
        <x:v>监控结果＋投监产品清单＋托管产品基本信息</x:v>
      </x:c>
      <x:c r="E6" s="3" t="str">
        <x:v>三组输入汇成一个接口结果，再写入一张 TIT 表。</x:v>
      </x:c>
      <x:c r="F6" s="3" t="str">
        <x:v>关联加工
上游共用模型含多源整合；末段为字段映射。</x:v>
      </x:c>
    </x:row>
    <x:row r="7">
      <x:c r="A7" s="3"/>
      <x:c r="B7" s="3"/>
      <x:c r="C7" s="3"/>
      <x:c r="D7" s="3"/>
      <x:c r="E7" s="3"/>
      <x:c r="F7" s="3"/>
    </x:row>
    <x:row r="8">
      <x:c r="A8" s="3"/>
      <x:c r="B8" s="3"/>
      <x:c r="C8" s="3"/>
      <x:c r="D8" s="3"/>
      <x:c r="E8" s="3"/>
      <x:c r="F8" s="3"/>
    </x:row>
    <x:row r="9" ht="30" customHeight="1">
      <x:c r="A9" s="16" t="str">
        <x:v>统计项</x:v>
      </x:c>
      <x:c r="B9" s="17" t="str">
        <x:v>数量</x:v>
      </x:c>
      <x:c r="C9" s="18" t="str">
        <x:v>统计含义</x:v>
      </x:c>
      <x:c r="D9" s="3"/>
      <x:c r="E9" s="3"/>
      <x:c r="F9" s="3"/>
    </x:row>
    <x:row r="10" ht="36" customHeight="1">
      <x:c r="A10" s="3" t="str">
        <x:v>业务簇</x:v>
      </x:c>
      <x:c r="B10" s="20" t="n">
        <x:f>COUNTA(A6:A6)</x:f>
        <x:v>1</x:v>
      </x:c>
      <x:c r="C10" s="3" t="str">
        <x:v>本样例整理一个业务结果。</x:v>
      </x:c>
      <x:c r="D10" s="3"/>
      <x:c r="E10" s="3"/>
      <x:c r="F10" s="3"/>
    </x:row>
    <x:row r="11" ht="36" customHeight="1">
      <x:c r="A11" s="3" t="str">
        <x:v>TIT 接收表</x:v>
      </x:c>
      <x:c r="B11" s="20" t="n">
        <x:f>COUNTIF('02涉及表'!A6:A34,"TIT 接收")</x:f>
        <x:v>1</x:v>
      </x:c>
      <x:c r="C11" s="3" t="str">
        <x:v>同一接收表去重。</x:v>
      </x:c>
      <x:c r="D11" s="3"/>
      <x:c r="E11" s="3"/>
      <x:c r="F11" s="3"/>
    </x:row>
    <x:row r="12" ht="36" customHeight="1">
      <x:c r="A12" s="3" t="str">
        <x:v>直接输入组</x:v>
      </x:c>
      <x:c r="B12" s="20" t="n">
        <x:f>COUNTA(A19:A21)</x:f>
        <x:v>3</x:v>
      </x:c>
      <x:c r="C12" s="3" t="str">
        <x:v>按输入的业务作用分组。</x:v>
      </x:c>
      <x:c r="D12" s="3"/>
      <x:c r="E12" s="3"/>
      <x:c r="F12" s="3"/>
    </x:row>
    <x:row r="13" ht="36" customHeight="1">
      <x:c r="A13" s="3" t="str">
        <x:v>直接输入表</x:v>
      </x:c>
      <x:c r="B13" s="20" t="n">
        <x:f>COUNTIF('02涉及表'!A6:A34,"直接输入")</x:f>
        <x:v>4</x:v>
      </x:c>
      <x:c r="C13" s="3" t="str">
        <x:v>产品清单常规、H15 分别计表。</x:v>
      </x:c>
      <x:c r="D13" s="3"/>
      <x:c r="E13" s="3"/>
      <x:c r="F13" s="3"/>
    </x:row>
    <x:row r="14" ht="36" customHeight="1">
      <x:c r="A14" s="3" t="str">
        <x:v>接口准备调度</x:v>
      </x:c>
      <x:c r="B14" s="20" t="n">
        <x:f>COUNTIF('03调度与依据'!B6:B20,"接口准备")</x:f>
        <x:v>2</x:v>
      </x:c>
      <x:c r="C14" s="3" t="str">
        <x:v>常规、H15 各一条。</x:v>
      </x:c>
      <x:c r="D14" s="3"/>
      <x:c r="E14" s="3"/>
      <x:c r="F14" s="3"/>
    </x:row>
    <x:row r="15" ht="36" customHeight="1">
      <x:c r="A15" s="3" t="str">
        <x:v>推送调度记录</x:v>
      </x:c>
      <x:c r="B15" s="20" t="n">
        <x:f>COUNTIF('03调度与依据'!B6:B20,"推送")</x:f>
        <x:v>4</x:v>
      </x:c>
      <x:c r="C15" s="3" t="str">
        <x:v>四条目录记录对应同一接收表。</x:v>
      </x:c>
      <x:c r="D15" s="3"/>
      <x:c r="E15" s="3"/>
      <x:c r="F15" s="3"/>
    </x:row>
    <x:row r="16">
      <x:c r="A16" s="3"/>
      <x:c r="B16" s="3"/>
      <x:c r="C16" s="3"/>
      <x:c r="D16" s="3"/>
      <x:c r="E16" s="3"/>
      <x:c r="F16" s="3"/>
    </x:row>
    <x:row r="17">
      <x:c r="A17" s="3"/>
      <x:c r="B17" s="3"/>
      <x:c r="C17" s="3"/>
      <x:c r="D17" s="3"/>
      <x:c r="E17" s="3"/>
      <x:c r="F17" s="3"/>
    </x:row>
    <x:row r="18" ht="30" customHeight="1">
      <x:c r="A18" s="16" t="str">
        <x:v>输入组</x:v>
      </x:c>
      <x:c r="B18" s="17" t="str">
        <x:v>主要来源</x:v>
      </x:c>
      <x:c r="C18" s="17" t="str">
        <x:v>直接输入表</x:v>
      </x:c>
      <x:c r="D18" s="17" t="str">
        <x:v>在本簇中的作用</x:v>
      </x:c>
      <x:c r="E18" s="17" t="str">
        <x:v>常规／H15</x:v>
      </x:c>
      <x:c r="F18" s="18" t="str">
        <x:v>相关调度</x:v>
      </x:c>
    </x:row>
    <x:row r="19" ht="70" customHeight="1">
      <x:c r="A19" s="3" t="str">
        <x:v>监控结果</x:v>
      </x:c>
      <x:c r="B19" s="3" t="str">
        <x:v>CPS 托管私募投资监督</x:v>
      </x:c>
      <x:c r="C19" s="3" t="str">
        <x:v>pdata_n.t05_cstd_cps_montr_rslt</x:v>
      </x:c>
      <x:c r="D19" s="3" t="str">
        <x:v>已有监控、预警与违规结果，是本簇的主体内容。</x:v>
      </x:c>
      <x:c r="E19" s="3" t="str">
        <x:v>常规与 H15 任务写入同一模型表。</x:v>
      </x:c>
      <x:c r="F19" s="3" t="str">
        <x:v>101329 / 200759</x:v>
      </x:c>
    </x:row>
    <x:row r="20" ht="70" customHeight="1">
      <x:c r="A20" s="3" t="str">
        <x:v>投监产品清单</x:v>
      </x:c>
      <x:c r="B20" s="3" t="str">
        <x:v>CPS 口径产品清单</x:v>
      </x:c>
      <x:c r="C20" s="3" t="str">
        <x:v>pdata_news_n.t02_fin_spvs_prd_list
pdata_news_n.t02_fin_spvs_prd_list_p</x:v>
      </x:c>
      <x:c r="D20" s="3" t="str">
        <x:v>对应产品名称、产品代码、组合编号，衔接监控结果。</x:v>
      </x:c>
      <x:c r="E20" s="3" t="str">
        <x:v>常规读当日；H15 读 _p 表的 H15 分区。</x:v>
      </x:c>
      <x:c r="F20" s="3" t="str">
        <x:v>136152 / 198734（目录线索）</x:v>
      </x:c>
    </x:row>
    <x:row r="21" ht="70" customHeight="1">
      <x:c r="A21" s="3" t="str">
        <x:v>托管产品资料</x:v>
      </x:c>
      <x:c r="B21" s="3" t="str">
        <x:v>托管产品共用模型</x:v>
      </x:c>
      <x:c r="C21" s="3" t="str">
        <x:v>pdata_n.t98_cstd_prd_base_info</x:v>
      </x:c>
      <x:c r="D21" s="3" t="str">
        <x:v>补充产品名称、外包账套号与管理人名称，并限定产品范围。</x:v>
      </x:c>
      <x:c r="E21" s="3" t="str">
        <x:v>两条准备任务共同使用；模型上游在表目录展开。</x:v>
      </x:c>
      <x:c r="F21" s="3" t="str">
        <x:v>71716</x:v>
      </x:c>
    </x:row>
    <x:row r="22">
      <x:c r="A22" s="3"/>
      <x:c r="B22" s="3"/>
      <x:c r="C22" s="3"/>
      <x:c r="D22" s="3"/>
      <x:c r="E22" s="3"/>
      <x:c r="F22" s="3"/>
    </x:row>
    <x:row r="23">
      <x:c r="A23" s="3"/>
      <x:c r="B23" s="3"/>
      <x:c r="C23" s="3"/>
      <x:c r="D23" s="3"/>
      <x:c r="E23" s="3"/>
      <x:c r="F23" s="3"/>
    </x:row>
    <x:row r="24" ht="30" customHeight="1">
      <x:c r="A24" s="16" t="str">
        <x:v>阅读要点</x:v>
      </x:c>
      <x:c r="B24" s="18" t="str">
        <x:v>说明</x:v>
      </x:c>
      <x:c r="C24" s="3"/>
      <x:c r="D24" s="3"/>
      <x:c r="E24" s="3"/>
      <x:c r="F24" s="3"/>
    </x:row>
    <x:row r="25" ht="46" customHeight="1">
      <x:c r="A25" s="3" t="str">
        <x:v>多对一的含义</x:v>
      </x:c>
      <x:c r="B25" s="3" t="str">
        <x:v>描述表和主题的汇合关系。</x:v>
      </x:c>
      <x:c r="C25" s="3" t="str">
        <x:v>不表示逐条业务记录的 Join 基数。</x:v>
      </x:c>
      <x:c r="D25" s="3"/>
      <x:c r="E25" s="3"/>
      <x:c r="F25" s="3"/>
    </x:row>
    <x:row r="26" ht="46" customHeight="1">
      <x:c r="A26" s="3" t="str">
        <x:v>共用模型边界</x:v>
      </x:c>
      <x:c r="B26" s="3" t="str">
        <x:v>产品模型上游整体列作支撑。</x:v>
      </x:c>
      <x:c r="C26" s="3" t="str">
        <x:v>不能把支撑模型的每张上游表都称为独立推送。</x:v>
      </x:c>
      <x:c r="D26" s="3"/>
      <x:c r="E26" s="3"/>
      <x:c r="F26" s="3"/>
    </x:row>
    <x:row r="27" ht="46" customHeight="1">
      <x:c r="A27" s="3" t="str">
        <x:v>接收范围</x:v>
      </x:c>
      <x:c r="B27" s="3" t="str">
        <x:v>TIT 接口表；应用使用未核验。</x:v>
      </x:c>
      <x:c r="C27" s="3" t="str">
        <x:v>统计的是图谱中的接收表，不是应用功能数量。</x:v>
      </x:c>
      <x:c r="D27" s="3"/>
      <x:c r="E27" s="3"/>
      <x:c r="F27" s="3"/>
    </x:row>
    <x:row r="28" ht="46" customHeight="1">
      <x:c r="A28" s="3" t="str">
        <x:v>样例范围</x:v>
      </x:c>
      <x:c r="B28" s="3" t="str">
        <x:v>监控主链及一层共用模型支撑。</x:v>
      </x:c>
      <x:c r="C28" s="3" t="str">
        <x:v>不代表所有托管接口、所有上游采集表的全量盘点。</x:v>
      </x:c>
      <x:c r="D28" s="3"/>
      <x:c r="E28" s="3"/>
      <x:c r="F28" s="3"/>
    </x:row>
    <x:row r="29" ht="46" customHeight="1">
      <x:c r="A29" s="3" t="str">
        <x:v>其他托管系统</x:v>
      </x:c>
      <x:c r="B29" s="3" t="str">
        <x:v>ACV、CVS 不单独算一份结果。</x:v>
      </x:c>
      <x:c r="C29" s="3" t="str">
        <x:v>本次只在可见链路处列明位置，未独立确认其对 TIT 的供数份数。</x:v>
      </x:c>
      <x:c r="D29" s="3"/>
      <x:c r="E29" s="3"/>
      <x:c r="F29" s="3"/>
    </x:row>
    <x:row r="30" ht="46" customHeight="1">
      <x:c r="A30" s="3" t="str">
        <x:v>排除的关联</x:v>
      </x:c>
      <x:c r="B30" s="3" t="str">
        <x:v>衡泰利率另属业务簇。</x:v>
      </x:c>
      <x:c r="C30" s="3" t="str">
        <x:v>衡泰利率 SQL 限定 XIR；共享证券表的连通不并入托管主题。</x:v>
      </x:c>
      <x:c r="D30" s="3"/>
      <x:c r="E30" s="3"/>
      <x:c r="F30" s="3"/>
    </x:row>
    <x:row r="31" ht="46" customHeight="1">
      <x:c r="A31" s="3" t="str">
        <x:v>本方系统范围</x:v>
      </x:c>
      <x:c r="B31" s="3" t="str">
        <x:v>TIT 与运管（gf_otc）均纳入。</x:v>
      </x:c>
      <x:c r="C31" s="3" t="str">
        <x:v>当前监控准备表的直接下游只查到 TIT；运管其他供数主题尚未在此样例盘点。</x:v>
      </x:c>
      <x:c r="D31" s="3"/>
      <x:c r="E31" s="3"/>
      <x:c r="F31" s="3"/>
    </x:row>
    <x:row r="32">
      <x:c r="A32" s="3"/>
      <x:c r="B32" s="3"/>
      <x:c r="C32" s="3"/>
      <x:c r="D32" s="3"/>
      <x:c r="E32" s="3"/>
      <x:c r="F32" s="3"/>
    </x:row>
    <x:row r="33">
      <x:c r="A33" s="3"/>
      <x:c r="B33" s="3"/>
      <x:c r="C33" s="3"/>
      <x:c r="D33" s="3"/>
      <x:c r="E33" s="3"/>
      <x:c r="F33" s="3"/>
    </x:row>
    <x:row r="34">
      <x:c r="A34" s="3"/>
      <x:c r="B34" s="3"/>
      <x:c r="C34" s="3"/>
      <x:c r="D34" s="3"/>
      <x:c r="E34" s="3"/>
      <x:c r="F34" s="3"/>
    </x:row>
    <x:row r="35">
      <x:c r="A35" s="3"/>
      <x:c r="B35" s="3"/>
      <x:c r="C35" s="3"/>
      <x:c r="D35" s="3"/>
      <x:c r="E35" s="3"/>
      <x:c r="F3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60" hidden="0" customWidth="1"/>
    <x:col min="5" max="5" width="52" hidden="0" customWidth="1"/>
    <x:col min="6" max="6" width="54" hidden="0" customWidth="1"/>
    <x:col min="7" max="7" width="25" hidden="0" customWidth="1"/>
    <x:col min="8" max="8" width="31" hidden="0" customWidth="1"/>
  </x:cols>
  <x:sheetData>
    <x:row r="1" ht="30" customHeight="1">
      <x:c r="A1" s="5" t="str">
        <x:v>托管监控簇的供数链路</x:v>
      </x:c>
      <x:c r="B1" s="4"/>
      <x:c r="C1" s="4"/>
      <x:c r="D1" s="4"/>
      <x:c r="E1" s="4"/>
      <x:c r="F1" s="4"/>
      <x:c r="G1" s="4"/>
      <x:c r="H1" s="4"/>
    </x:row>
    <x:row r="2" ht="22" customHeight="1">
      <x:c r="A2" s="6" t="str">
        <x:v>按加工阶段阅读。常规与 H15 是同一业务簇的两条分支；接收表去重后只有一张。</x:v>
      </x:c>
      <x:c r="B2" s="4"/>
      <x:c r="C2" s="4"/>
      <x:c r="D2" s="4"/>
      <x:c r="E2" s="4"/>
      <x:c r="F2" s="4"/>
      <x:c r="G2" s="4"/>
      <x:c r="H2" s="4"/>
    </x:row>
    <x:row r="3" ht="8" customHeight="1">
      <x:c r="A3" s="7"/>
      <x:c r="B3" s="7"/>
      <x:c r="C3" s="7"/>
      <x:c r="D3" s="7"/>
      <x:c r="E3" s="7"/>
      <x:c r="F3" s="7"/>
      <x:c r="G3" s="7"/>
      <x:c r="H3" s="7"/>
    </x:row>
    <x:row r="4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16" t="str">
        <x:v>关系号</x:v>
      </x:c>
      <x:c r="B5" s="17" t="str">
        <x:v>加工阶段</x:v>
      </x:c>
      <x:c r="C5" s="17" t="str">
        <x:v>分支</x:v>
      </x:c>
      <x:c r="D5" s="17" t="str">
        <x:v>输入</x:v>
      </x:c>
      <x:c r="E5" s="17" t="str">
        <x:v>输出</x:v>
      </x:c>
      <x:c r="F5" s="17" t="str">
        <x:v>这一段做什么</x:v>
      </x:c>
      <x:c r="G5" s="17" t="str">
        <x:v>调度 ID</x:v>
      </x:c>
      <x:c r="H5" s="18" t="str">
        <x:v>依据</x:v>
      </x:c>
    </x:row>
    <x:row r="6" ht="60" customHeight="1">
      <x:c r="A6" s="3" t="str">
        <x:v>R01</x:v>
      </x:c>
      <x:c r="B6" s="3" t="str">
        <x:v>监控结果入模</x:v>
      </x:c>
      <x:c r="C6" s="3" t="str">
        <x:v>常规</x:v>
      </x:c>
      <x:c r="D6" s="3" t="str">
        <x:v>odata_n_cps.h_tmonitorresults
odata_n_cps.h_tport
pdata_n.ref_cd_cvt_map</x:v>
      </x:c>
      <x:c r="E6" s="3" t="str">
        <x:v>pdata_n.t05_cstd_cps_montr_rslt</x:v>
      </x:c>
      <x:c r="F6" s="3" t="str">
        <x:v>整理已有监控结果，关联产品账户和代码映射。</x:v>
      </x:c>
      <x:c r="G6" s="3" t="str">
        <x:v>101329</x:v>
      </x:c>
      <x:c r="H6" s="3" t="str">
        <x:v>图谱读表＋任务 SQL</x:v>
      </x:c>
    </x:row>
    <x:row r="7" ht="60" customHeight="1">
      <x:c r="A7" s="3" t="str">
        <x:v>R02</x:v>
      </x:c>
      <x:c r="B7" s="3" t="str">
        <x:v>监控结果入模</x:v>
      </x:c>
      <x:c r="C7" s="3" t="str">
        <x:v>H15</x:v>
      </x:c>
      <x:c r="D7" s="3" t="str">
        <x:v>odata_n_cps.h_tmonitorresults_pb
odata_n_cps.h_tport
pdata_n.ref_cd_cvt_map</x:v>
      </x:c>
      <x:c r="E7" s="3" t="str">
        <x:v>pdata_n.t05_cstd_cps_montr_rslt</x:v>
      </x:c>
      <x:c r="F7" s="3" t="str">
        <x:v>读取监控结果 PB 表的 h15 范围；落入同一监控结果模型。</x:v>
      </x:c>
      <x:c r="G7" s="3" t="str">
        <x:v>200759</x:v>
      </x:c>
      <x:c r="H7" s="3" t="str">
        <x:v>图谱读表＋任务 SQL</x:v>
      </x:c>
    </x:row>
    <x:row r="8" ht="44" customHeight="1">
      <x:c r="A8" s="3" t="str">
        <x:v>R03</x:v>
      </x:c>
      <x:c r="B8" s="3" t="str">
        <x:v>投监产品清单</x:v>
      </x:c>
      <x:c r="C8" s="3" t="str">
        <x:v>常规／H15</x:v>
      </x:c>
      <x:c r="D8" s="3" t="str">
        <x:v>CPS 产品清单；采集表到清单的加工 SQL 未收录。</x:v>
      </x:c>
      <x:c r="E8" s="3" t="str">
        <x:v>pdata_news_n.t02_fin_spvs_prd_list
pdata_news_n.t02_fin_spvs_prd_list_p</x:v>
      </x:c>
      <x:c r="F8" s="3" t="str">
        <x:v>准备任务明确读取这两张清单；源端接续在此收口。</x:v>
      </x:c>
      <x:c r="G8" s="3" t="str">
        <x:v>136152 / 198734</x:v>
      </x:c>
      <x:c r="H8" s="3" t="str">
        <x:v>任务目录及 DDL；156181 / 164968 的读取 SQL</x:v>
      </x:c>
    </x:row>
    <x:row r="9" ht="44" customHeight="1">
      <x:c r="A9" s="3" t="str">
        <x:v>R04</x:v>
      </x:c>
      <x:c r="B9" s="3" t="str">
        <x:v>托管产品资料整合</x:v>
      </x:c>
      <x:c r="C9" s="3" t="str">
        <x:v>共用支撑</x:v>
      </x:c>
      <x:c r="D9" s="3" t="str">
        <x:v>CAP 产品档案、MOT 口径证券和机构资料等；19 张模型直接输入见表目录。</x:v>
      </x:c>
      <x:c r="E9" s="3" t="str">
        <x:v>pdata_n.t98_cstd_prd_base_info</x:v>
      </x:c>
      <x:c r="F9" s="3" t="str">
        <x:v>共用模型含多表关联、去重和资料整合；本簇使用其中的产品及管理人资料。</x:v>
      </x:c>
      <x:c r="G9" s="3" t="str">
        <x:v>71716</x:v>
      </x:c>
      <x:c r="H9" s="3" t="str">
        <x:v>图谱直接输入＋关键 SQL</x:v>
      </x:c>
    </x:row>
    <x:row r="10" ht="44" customHeight="1">
      <x:c r="A10" s="3" t="str">
        <x:v>R05</x:v>
      </x:c>
      <x:c r="B10" s="3" t="str">
        <x:v>TIT 接口准备</x:v>
      </x:c>
      <x:c r="C10" s="3" t="str">
        <x:v>常规</x:v>
      </x:c>
      <x:c r="D10" s="3" t="str">
        <x:v>监控结果＋常规投监产品清单＋托管产品基本信息</x:v>
      </x:c>
      <x:c r="E10" s="3" t="str">
        <x:v>dm_otc_n.titans_cstd_prd_montr_rslt</x:v>
      </x:c>
      <x:c r="F10" s="3" t="str">
        <x:v>按产品名称、组合编号关联；筛选指定账套、有效监控结果和业务规则。</x:v>
      </x:c>
      <x:c r="G10" s="3" t="str">
        <x:v>156181</x:v>
      </x:c>
      <x:c r="H10" s="3" t="str">
        <x:v>图谱＋完整查询 SQL</x:v>
      </x:c>
    </x:row>
    <x:row r="11" ht="36" customHeight="1">
      <x:c r="A11" s="3" t="str">
        <x:v>R06</x:v>
      </x:c>
      <x:c r="B11" s="3" t="str">
        <x:v>TIT 接口准备</x:v>
      </x:c>
      <x:c r="C11" s="3" t="str">
        <x:v>H15</x:v>
      </x:c>
      <x:c r="D11" s="3" t="str">
        <x:v>监控结果＋H15 投监产品清单＋托管产品基本信息</x:v>
      </x:c>
      <x:c r="E11" s="3" t="str">
        <x:v>dm_otc_n.titans_cstd_prd_montr_rslt</x:v>
      </x:c>
      <x:c r="F11" s="3" t="str">
        <x:v>产品清单改读 _p 表的 H15 范围；形成同一个接口结果。</x:v>
      </x:c>
      <x:c r="G11" s="3" t="str">
        <x:v>164968</x:v>
      </x:c>
      <x:c r="H11" s="3" t="str">
        <x:v>图谱＋完整查询 SQL</x:v>
      </x:c>
    </x:row>
    <x:row r="12" ht="36" customHeight="1">
      <x:c r="A12" s="3" t="str">
        <x:v>R07</x:v>
      </x:c>
      <x:c r="B12" s="3" t="str">
        <x:v>推送 TIT</x:v>
      </x:c>
      <x:c r="C12" s="3" t="str">
        <x:v>常规目录分支</x:v>
      </x:c>
      <x:c r="D12" s="3" t="str">
        <x:v>dm_otc_n.titans_cstd_prd_montr_rslt</x:v>
      </x:c>
      <x:c r="E12" s="3" t="str">
        <x:v>titans_etl.trans_hedge_monitor_result</x:v>
      </x:c>
      <x:c r="F12" s="3" t="str">
        <x:v>字段映射、日期转换，推送托管监控结果。</x:v>
      </x:c>
      <x:c r="G12" s="3" t="str">
        <x:v>156192 / 228530</x:v>
      </x:c>
      <x:c r="H12" s="3" t="str">
        <x:v>图谱目标；推送 SQL；目录名称</x:v>
      </x:c>
    </x:row>
    <x:row r="13" ht="36" customHeight="1">
      <x:c r="A13" s="3" t="str">
        <x:v>R08</x:v>
      </x:c>
      <x:c r="B13" s="3" t="str">
        <x:v>推送 TIT</x:v>
      </x:c>
      <x:c r="C13" s="3" t="str">
        <x:v>H15 目录分支</x:v>
      </x:c>
      <x:c r="D13" s="3" t="str">
        <x:v>dm_otc_n.titans_cstd_prd_montr_rslt</x:v>
      </x:c>
      <x:c r="E13" s="3" t="str">
        <x:v>titans_etl.trans_hedge_monitor_result</x:v>
      </x:c>
      <x:c r="F13" s="3" t="str">
        <x:v>沿用同一接收表。多个调度记录不重复计算接收表。</x:v>
      </x:c>
      <x:c r="G13" s="3" t="str">
        <x:v>156763 / 228532</x:v>
      </x:c>
      <x:c r="H13" s="3" t="str">
        <x:v>图谱目标；推送 SQL；目录名称</x:v>
      </x:c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 ht="50" customHeight="1">
      <x:c r="A16" s="3" t="str">
        <x:v>结构关系</x:v>
      </x:c>
      <x:c r="B16" s="3" t="str">
        <x:v>输入汇合：多对一</x:v>
      </x:c>
      <x:c r="C16" s="3"/>
      <x:c r="D16" s="3" t="str">
        <x:v>共同监控模型、产品基本信息分别被常规和 H15 两条准备任务复用。</x:v>
      </x:c>
      <x:c r="E16" s="3"/>
      <x:c r="F16" s="3" t="str">
        <x:v>最终一个接收结果；没有据此认定多对多的最终消费。</x:v>
      </x:c>
      <x:c r="G16" s="3"/>
      <x:c r="H16" s="3"/>
    </x:row>
    <x:row r="17">
      <x:c r="A17" s="3"/>
      <x:c r="B17" s="3"/>
      <x:c r="C17" s="3"/>
      <x:c r="D17" s="3"/>
      <x:c r="E17" s="3"/>
      <x:c r="F17" s="3"/>
      <x:c r="G17" s="3"/>
      <x:c r="H17" s="3"/>
    </x:row>
  </x:sheetData>
  <x:pageMargins left="0.7" right="0.7" top="0.75" bottom="0.75" header="0.3" footer="0.3"/>
  <x:tableParts count="1">
    <x:tablePart xmlns:r="http://schemas.openxmlformats.org/officeDocument/2006/relationships" r:id="Ra2c74bc3e8af434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55" hidden="0" customWidth="1"/>
    <x:col min="4" max="4" width="45" hidden="0" customWidth="1"/>
    <x:col min="5" max="5" width="49" hidden="0" customWidth="1"/>
    <x:col min="6" max="6" width="32" hidden="0" customWidth="1"/>
    <x:col min="7" max="7" width="47" hidden="0" customWidth="1"/>
  </x:cols>
  <x:sheetData>
    <x:row r="1" ht="30" customHeight="1">
      <x:c r="A1" s="5" t="str">
        <x:v>托管监控簇涉及的表</x:v>
      </x:c>
      <x:c r="B1" s="4"/>
      <x:c r="C1" s="4"/>
      <x:c r="D1" s="4"/>
      <x:c r="E1" s="4"/>
      <x:c r="F1" s="4"/>
      <x:c r="G1" s="4"/>
    </x:row>
    <x:row r="2" ht="22" customHeight="1">
      <x:c r="A2" s="6" t="str">
        <x:v>前六行为接收、准备和直接输入。其余按相邻模型列作支撑，保留原表注释及来源。</x:v>
      </x:c>
      <x:c r="B2" s="4"/>
      <x:c r="C2" s="4"/>
      <x:c r="D2" s="4"/>
      <x:c r="E2" s="4"/>
      <x:c r="F2" s="4"/>
      <x:c r="G2" s="4"/>
    </x:row>
    <x:row r="3" ht="8" customHeight="1">
      <x:c r="A3" s="7"/>
      <x:c r="B3" s="7"/>
      <x:c r="C3" s="7"/>
      <x:c r="D3" s="7"/>
      <x:c r="E3" s="7"/>
      <x:c r="F3" s="7"/>
      <x:c r="G3" s="7"/>
    </x:row>
    <x:row r="4">
      <x:c r="A4" s="3"/>
      <x:c r="B4" s="3"/>
      <x:c r="C4" s="3"/>
      <x:c r="D4" s="3"/>
      <x:c r="E4" s="3"/>
      <x:c r="F4" s="3"/>
      <x:c r="G4" s="3"/>
    </x:row>
    <x:row r="5" ht="30" customHeight="1">
      <x:c r="A5" s="16" t="str">
        <x:v>位置</x:v>
      </x:c>
      <x:c r="B5" s="17" t="str">
        <x:v>数据类型</x:v>
      </x:c>
      <x:c r="C5" s="17" t="str">
        <x:v>表名</x:v>
      </x:c>
      <x:c r="D5" s="17" t="str">
        <x:v>原表注释</x:v>
      </x:c>
      <x:c r="E5" s="17" t="str">
        <x:v>在本簇中的作用</x:v>
      </x:c>
      <x:c r="F5" s="17" t="str">
        <x:v>关联调度 ID</x:v>
      </x:c>
      <x:c r="G5" s="18" t="str">
        <x:v>来源系统／源端表</x:v>
      </x:c>
    </x:row>
    <x:row r="6" ht="44" customHeight="1">
      <x:c r="A6" s="3" t="str">
        <x:v>TIT 接收</x:v>
      </x:c>
      <x:c r="B6" s="3" t="str">
        <x:v>监控与合规</x:v>
      </x:c>
      <x:c r="C6" s="3" t="str">
        <x:v>titans_etl.trans_hedge_monitor_result</x:v>
      </x:c>
      <x:c r="D6" s="3" t="str">
        <x:v>托管部私募估值监控结果</x:v>
      </x:c>
      <x:c r="E6" s="3" t="str">
        <x:v>最终接收托管监控结果。</x:v>
      </x:c>
      <x:c r="F6" s="21" t="str">
        <x:v>156192 / 156763 / 228530 / 228532</x:v>
      </x:c>
      <x:c r="G6" s="3" t="str">
        <x:v>TIT 接口库</x:v>
      </x:c>
    </x:row>
    <x:row r="7" ht="36" customHeight="1">
      <x:c r="A7" s="3" t="str">
        <x:v>接口准备</x:v>
      </x:c>
      <x:c r="B7" s="3" t="str">
        <x:v>监控与合规</x:v>
      </x:c>
      <x:c r="C7" s="3" t="str">
        <x:v>dm_otc_n.titans_cstd_prd_montr_rslt</x:v>
      </x:c>
      <x:c r="D7" s="3" t="str">
        <x:v>北上股衍产品监控结果表</x:v>
      </x:c>
      <x:c r="E7" s="3" t="str">
        <x:v>三组输入汇合后的接口结果。</x:v>
      </x:c>
      <x:c r="F7" s="21" t="str">
        <x:v>156181 / 164968</x:v>
      </x:c>
      <x:c r="G7" s="3" t="str">
        <x:v>DM_OTC_N</x:v>
      </x:c>
    </x:row>
    <x:row r="8" ht="124" customHeight="1">
      <x:c r="A8" s="3" t="str">
        <x:v>直接输入</x:v>
      </x:c>
      <x:c r="B8" s="3" t="str">
        <x:v>监控与合规</x:v>
      </x:c>
      <x:c r="C8" s="3" t="str">
        <x:v>pdata_n.t05_cstd_cps_montr_rslt</x:v>
      </x:c>
      <x:c r="D8" s="3" t="str">
        <x:v>每天增量更新,记录投资组合、产品的监控预警、违规触发、阈值偏离及后续处理全流程事件，包含监控维度、指标实际值、上下限阈值、偏离计算、违规天数、逾期天数、审批流程、发送状态、处理结果及操作留痕等核心数据，是产品风险监控、合规预警、异常处置、流程审批与审计追溯的核心数据表。</x:v>
      </x:c>
      <x:c r="E8" s="3" t="str">
        <x:v>提供已有规则、预警、违规和监控指标结果。</x:v>
      </x:c>
      <x:c r="F8" s="21" t="str">
        <x:v>101329 / 200759</x:v>
      </x:c>
      <x:c r="G8" s="3" t="str">
        <x:v>CPS 托管私募投资监督</x:v>
      </x:c>
    </x:row>
    <x:row r="9" ht="44" customHeight="1">
      <x:c r="A9" s="3" t="str">
        <x:v>直接输入</x:v>
      </x:c>
      <x:c r="B9" s="3" t="str">
        <x:v>产品与账户</x:v>
      </x:c>
      <x:c r="C9" s="3" t="str">
        <x:v>pdata_news_n.t02_fin_spvs_prd_list</x:v>
      </x:c>
      <x:c r="D9" s="3" t="str">
        <x:v>投监系统产品清单</x:v>
      </x:c>
      <x:c r="E9" s="3" t="str">
        <x:v>CPS / grp_id=01 的常规产品清单。</x:v>
      </x:c>
      <x:c r="F9" s="21" t="str">
        <x:v>读取 156181
目录 136152</x:v>
      </x:c>
      <x:c r="G9" s="3" t="str">
        <x:v>CPS 口径；源端加工未收录</x:v>
      </x:c>
    </x:row>
    <x:row r="10" ht="44" customHeight="1">
      <x:c r="A10" s="3" t="str">
        <x:v>直接输入</x:v>
      </x:c>
      <x:c r="B10" s="3" t="str">
        <x:v>产品与账户</x:v>
      </x:c>
      <x:c r="C10" s="3" t="str">
        <x:v>pdata_news_n.t02_fin_spvs_prd_list_p</x:v>
      </x:c>
      <x:c r="D10" s="3" t="str">
        <x:v>投监系统产品清单</x:v>
      </x:c>
      <x:c r="E10" s="3" t="str">
        <x:v>CPS / grp_id=01 / H15 的产品清单。</x:v>
      </x:c>
      <x:c r="F10" s="21" t="str">
        <x:v>读取 164968
目录 198734</x:v>
      </x:c>
      <x:c r="G10" s="3" t="str">
        <x:v>CPS 口径；源端加工未收录</x:v>
      </x:c>
    </x:row>
    <x:row r="11" ht="44" customHeight="1">
      <x:c r="A11" s="3" t="str">
        <x:v>直接输入</x:v>
      </x:c>
      <x:c r="B11" s="3" t="str">
        <x:v>产品与合约</x:v>
      </x:c>
      <x:c r="C11" s="3" t="str">
        <x:v>pdata_n.t98_cstd_prd_base_info</x:v>
      </x:c>
      <x:c r="D11" s="3" t="str">
        <x:v>T98_资产托管产品基本信息</x:v>
      </x:c>
      <x:c r="E11" s="3" t="str">
        <x:v>补充产品名称、账套、管理人资料；上游为共用模型。</x:v>
      </x:c>
      <x:c r="F11" s="21" t="str">
        <x:v>71716</x:v>
      </x:c>
      <x:c r="G11" s="3" t="str">
        <x:v>托管产品共用模型</x:v>
      </x:c>
    </x:row>
    <x:row r="12" ht="36" customHeight="1">
      <x:c r="A12" s="3" t="str">
        <x:v>监控入模支撑</x:v>
      </x:c>
      <x:c r="B12" s="3" t="str">
        <x:v>监控与合规</x:v>
      </x:c>
      <x:c r="C12" s="3" t="str">
        <x:v>odata_n_cps.h_tmonitorresults</x:v>
      </x:c>
      <x:c r="D12" s="3" t="str">
        <x:v>表注释未收录</x:v>
      </x:c>
      <x:c r="E12" s="3" t="str">
        <x:v>常规监控结果采集表；当前源端物理表未收录。</x:v>
      </x:c>
      <x:c r="F12" s="21" t="str">
        <x:v>101329；采集目录 93399</x:v>
      </x:c>
      <x:c r="G12" s="3" t="str">
        <x:v>CPS 托管私募投资监督</x:v>
      </x:c>
    </x:row>
    <x:row r="13" ht="44" customHeight="1">
      <x:c r="A13" s="3" t="str">
        <x:v>监控入模支撑</x:v>
      </x:c>
      <x:c r="B13" s="3" t="str">
        <x:v>产品与账户</x:v>
      </x:c>
      <x:c r="C13" s="3" t="str">
        <x:v>odata_n_cps.h_tport</x:v>
      </x:c>
      <x:c r="D13" s="3" t="str">
        <x:v>账户表</x:v>
      </x:c>
      <x:c r="E13" s="3" t="str">
        <x:v>监控入模时关联组合／产品代码；原表注释为账户表。</x:v>
      </x:c>
      <x:c r="F13" s="21" t="str">
        <x:v>101329 / 200759；采集目录 93397</x:v>
      </x:c>
      <x:c r="G13" s="3" t="str">
        <x:v>CPS 托管私募投资监督</x:v>
      </x:c>
    </x:row>
    <x:row r="14" ht="36" customHeight="1">
      <x:c r="A14" s="3" t="str">
        <x:v>监控入模支撑</x:v>
      </x:c>
      <x:c r="B14" s="3" t="str">
        <x:v>参数配置</x:v>
      </x:c>
      <x:c r="C14" s="3" t="str">
        <x:v>pdata_n.ref_cd_cvt_map</x:v>
      </x:c>
      <x:c r="D14" s="3" t="str">
        <x:v>代码转换对照</x:v>
      </x:c>
      <x:c r="E14" s="3" t="str">
        <x:v>监控入模使用的代码转换关系。</x:v>
      </x:c>
      <x:c r="F14" s="21" t="str">
        <x:v>101329 / 200759</x:v>
      </x:c>
      <x:c r="G14" s="3" t="str">
        <x:v>公共代码映射</x:v>
      </x:c>
    </x:row>
    <x:row r="15" ht="36" customHeight="1">
      <x:c r="A15" s="3" t="str">
        <x:v>监控入模支撑</x:v>
      </x:c>
      <x:c r="B15" s="3" t="str">
        <x:v>监控与合规</x:v>
      </x:c>
      <x:c r="C15" s="3" t="str">
        <x:v>odata_n_cps.h_tmonitorresults_pb</x:v>
      </x:c>
      <x:c r="D15" s="3" t="str">
        <x:v>监控结果表</x:v>
      </x:c>
      <x:c r="E15" s="3" t="str">
        <x:v>H15 监控结果来源，参与 200759 入模。</x:v>
      </x:c>
      <x:c r="F15" s="21" t="str">
        <x:v>200759；采集目录 161363</x:v>
      </x:c>
      <x:c r="G15" s="3" t="str">
        <x:v>CPS 托管私募投资监督</x:v>
      </x:c>
    </x:row>
    <x:row r="16" ht="44" customHeight="1">
      <x:c r="A16" s="3" t="str">
        <x:v>产品共用模型支撑</x:v>
      </x:c>
      <x:c r="B16" s="3" t="str">
        <x:v>参数配置</x:v>
      </x:c>
      <x:c r="C16" s="3" t="str">
        <x:v>odata_n_acv.h_tsysinfo</x:v>
      </x:c>
      <x:c r="D16" s="3" t="str">
        <x:v>表注释未收录</x:v>
      </x:c>
      <x:c r="E16" s="3" t="str">
        <x:v>ACV 的共用模型输入，具体业务含义未由表注释说明。</x:v>
      </x:c>
      <x:c r="F16" s="21" t="str">
        <x:v>加工 71716
采集 61852</x:v>
      </x:c>
      <x:c r="G16" s="3" t="str">
        <x:v>ACV 托管外包估值
源端表：hsfa.tsysinfo</x:v>
      </x:c>
    </x:row>
    <x:row r="17" ht="36" customHeight="1">
      <x:c r="A17" s="3" t="str">
        <x:v>产品共用模型支撑</x:v>
      </x:c>
      <x:c r="B17" s="3" t="str">
        <x:v>参数配置</x:v>
      </x:c>
      <x:c r="C17" s="3" t="str">
        <x:v>odata_n_cap.a_biz_dict</x:v>
      </x:c>
      <x:c r="D17" s="3" t="str">
        <x:v>表注释未收录</x:v>
      </x:c>
      <x:c r="E17" s="3" t="str">
        <x:v>产品模型使用的字典资料；原表注释未收录。</x:v>
      </x:c>
      <x:c r="F17" s="21" t="str">
        <x:v>加工 71716</x:v>
      </x:c>
      <x:c r="G17" s="3" t="str">
        <x:v>CAP 托管辅助平台</x:v>
      </x:c>
    </x:row>
    <x:row r="18" ht="44" customHeight="1">
      <x:c r="A18" s="3" t="str">
        <x:v>产品共用模型支撑</x:v>
      </x:c>
      <x:c r="B18" s="3" t="str">
        <x:v>产品与合约</x:v>
      </x:c>
      <x:c r="C18" s="3" t="str">
        <x:v>odata_n_cap.a_biz_pro_closed_period_info</x:v>
      </x:c>
      <x:c r="D18" s="3" t="str">
        <x:v>表注释未收录</x:v>
      </x:c>
      <x:c r="E18" s="3" t="str">
        <x:v>产品模型的封闭期资料。留在共用模型支撑层，不单列为 TIT 接口。</x:v>
      </x:c>
      <x:c r="F18" s="21" t="str">
        <x:v>加工 71716
采集 236923</x:v>
      </x:c>
      <x:c r="G18" s="3" t="str">
        <x:v>CAP 托管辅助平台
源端表：acbas_yss.biz_pro_closed_period_info</x:v>
      </x:c>
    </x:row>
    <x:row r="19" ht="60" customHeight="1">
      <x:c r="A19" s="3" t="str">
        <x:v>产品共用模型支撑</x:v>
      </x:c>
      <x:c r="B19" s="3" t="str">
        <x:v>产品与合约</x:v>
      </x:c>
      <x:c r="C19" s="3" t="str">
        <x:v>odata_n_cap.p_biz_pro_investment_arrangement</x:v>
      </x:c>
      <x:c r="D19" s="3" t="str">
        <x:v>表注释未收录</x:v>
      </x:c>
      <x:c r="E19" s="3" t="str">
        <x:v>产品模型的投资安排资料，按整个支撑模型理解。</x:v>
      </x:c>
      <x:c r="F19" s="21" t="str">
        <x:v>加工 71716
采集 233677</x:v>
      </x:c>
      <x:c r="G19" s="3" t="str">
        <x:v>CAP 托管辅助平台
源端表：acbas_yss.biz_pro_investment_arrangement</x:v>
      </x:c>
    </x:row>
    <x:row r="20" ht="60" customHeight="1">
      <x:c r="A20" s="3" t="str">
        <x:v>产品共用模型支撑</x:v>
      </x:c>
      <x:c r="B20" s="3" t="str">
        <x:v>产品与合约</x:v>
      </x:c>
      <x:c r="C20" s="3" t="str">
        <x:v>odata_n_cap.p_biz_pro_lock_in_period_info</x:v>
      </x:c>
      <x:c r="D20" s="3" t="str">
        <x:v>表注释未收录</x:v>
      </x:c>
      <x:c r="E20" s="3" t="str">
        <x:v>产品模型的锁定期资料，按整个支撑模型理解。</x:v>
      </x:c>
      <x:c r="F20" s="21" t="str">
        <x:v>加工 71716
采集 233673</x:v>
      </x:c>
      <x:c r="G20" s="3" t="str">
        <x:v>CAP 托管辅助平台
源端表：acbas_yss.biz_pro_lock_in_period_info</x:v>
      </x:c>
    </x:row>
    <x:row r="21" ht="44" customHeight="1">
      <x:c r="A21" s="3" t="str">
        <x:v>产品共用模型支撑</x:v>
      </x:c>
      <x:c r="B21" s="3" t="str">
        <x:v>运营流程</x:v>
      </x:c>
      <x:c r="C21" s="3" t="str">
        <x:v>odata_n_cap.p_tpdtfundtransferoutinfo</x:v>
      </x:c>
      <x:c r="D21" s="3" t="str">
        <x:v>表注释未收录</x:v>
      </x:c>
      <x:c r="E21" s="3" t="str">
        <x:v>转出相关资料，参与产品共用模型。</x:v>
      </x:c>
      <x:c r="F21" s="21" t="str">
        <x:v>加工 71716
采集 233826</x:v>
      </x:c>
      <x:c r="G21" s="3" t="str">
        <x:v>CAP 托管辅助平台
源端表：acbas_hs.tpdtfundtransferoutinfo</x:v>
      </x:c>
    </x:row>
    <x:row r="22" ht="44" customHeight="1">
      <x:c r="A22" s="3" t="str">
        <x:v>产品共用模型支撑</x:v>
      </x:c>
      <x:c r="B22" s="3" t="str">
        <x:v>产品与合约</x:v>
      </x:c>
      <x:c r="C22" s="3" t="str">
        <x:v>odata_n_cap.s_biz_pro_prd_base_info</x:v>
      </x:c>
      <x:c r="D22" s="3" t="str">
        <x:v>产品基本信息表</x:v>
      </x:c>
      <x:c r="E22" s="3" t="str">
        <x:v>CAP 产品档案。71716 据此形成产品名称、外包账套等资料。</x:v>
      </x:c>
      <x:c r="F22" s="21" t="str">
        <x:v>加工 71716
采集 202975</x:v>
      </x:c>
      <x:c r="G22" s="3" t="str">
        <x:v>CAP 托管辅助平台
源端表：acbas_yss.biz_pro_prd_base_info</x:v>
      </x:c>
    </x:row>
    <x:row r="23" ht="44" customHeight="1">
      <x:c r="A23" s="3" t="str">
        <x:v>产品共用模型支撑</x:v>
      </x:c>
      <x:c r="B23" s="3" t="str">
        <x:v>运营流程</x:v>
      </x:c>
      <x:c r="C23" s="3" t="str">
        <x:v>odata_n_cap.upload_transferout_prd_sg_new</x:v>
      </x:c>
      <x:c r="D23" s="3" t="str">
        <x:v>资产托管业务月报</x:v>
      </x:c>
      <x:c r="E23" s="3" t="str">
        <x:v>托管业务月报相关补充资料，参与产品共用模型。</x:v>
      </x:c>
      <x:c r="F23" s="21" t="str">
        <x:v>加工 71716
采集 207760</x:v>
      </x:c>
      <x:c r="G23" s="3" t="str">
        <x:v>CAP 托管辅助平台
源端表：query_upload.transferout_prd_sg_new</x:v>
      </x:c>
    </x:row>
    <x:row r="24" ht="36" customHeight="1">
      <x:c r="A24" s="3" t="str">
        <x:v>产品共用模型支撑</x:v>
      </x:c>
      <x:c r="B24" s="3" t="str">
        <x:v>机构资料</x:v>
      </x:c>
      <x:c r="C24" s="3" t="str">
        <x:v>pdata_n.t01_mngr_org_info</x:v>
      </x:c>
      <x:c r="D24" s="3" t="str">
        <x:v>管理人信息</x:v>
      </x:c>
      <x:c r="E24" s="3" t="str">
        <x:v>管理人资料，71716 读取 ECRM 客户分级评定来源。</x:v>
      </x:c>
      <x:c r="F24" s="21" t="str">
        <x:v>加工 71716</x:v>
      </x:c>
      <x:c r="G24" s="3" t="str">
        <x:v>共用模型</x:v>
      </x:c>
    </x:row>
    <x:row r="25" ht="76" customHeight="1">
      <x:c r="A25" s="3" t="str">
        <x:v>产品共用模型支撑</x:v>
      </x:c>
      <x:c r="B25" s="3" t="str">
        <x:v>机构资料</x:v>
      </x:c>
      <x:c r="C25" s="3" t="str">
        <x:v>pdata_n.t01_pty_idty_info</x:v>
      </x:c>
      <x:c r="D25" s="3" t="str">
        <x:v>每天一份快照，存放所有当事人的各种身份识别证件信息，如身份证、护照、军官证、社会保障编号、驾驶证等，一个当事人有多个证件的，以多条记录存在。</x:v>
      </x:c>
      <x:c r="E25" s="3" t="str">
        <x:v>机构证件资料，供产品模型关联管理人信息。</x:v>
      </x:c>
      <x:c r="F25" s="21" t="str">
        <x:v>加工 71716</x:v>
      </x:c>
      <x:c r="G25" s="3" t="str">
        <x:v>共用模型</x:v>
      </x:c>
    </x:row>
    <x:row r="26" ht="36" customHeight="1">
      <x:c r="A26" s="3" t="str">
        <x:v>产品共用模型支撑</x:v>
      </x:c>
      <x:c r="B26" s="3" t="str">
        <x:v>产品与合约</x:v>
      </x:c>
      <x:c r="C26" s="3" t="str">
        <x:v>pdata_news_n.t02_cap_prd_stru_info</x:v>
      </x:c>
      <x:c r="D26" s="3" t="str">
        <x:v>产品分级信息表</x:v>
      </x:c>
      <x:c r="E26" s="3" t="str">
        <x:v>产品分级资料，参与共用模型。</x:v>
      </x:c>
      <x:c r="F26" s="21" t="str">
        <x:v>加工 71716</x:v>
      </x:c>
      <x:c r="G26" s="3" t="str">
        <x:v>共用模型</x:v>
      </x:c>
    </x:row>
    <x:row r="27" ht="36" customHeight="1">
      <x:c r="A27" s="3" t="str">
        <x:v>产品共用模型支撑</x:v>
      </x:c>
      <x:c r="B27" s="3" t="str">
        <x:v>产品与合约</x:v>
      </x:c>
      <x:c r="C27" s="3" t="str">
        <x:v>pdata_news_n.t02_cstd_prd_base_info</x:v>
      </x:c>
      <x:c r="D27" s="3" t="str">
        <x:v>托管产品基本信息</x:v>
      </x:c>
      <x:c r="E27" s="3" t="str">
        <x:v>托管产品基础资料共用模型；本次在此收口。</x:v>
      </x:c>
      <x:c r="F27" s="21" t="str">
        <x:v>加工 71716</x:v>
      </x:c>
      <x:c r="G27" s="3" t="str">
        <x:v>共用模型</x:v>
      </x:c>
    </x:row>
    <x:row r="28" ht="36" customHeight="1">
      <x:c r="A28" s="3" t="str">
        <x:v>产品共用模型支撑</x:v>
      </x:c>
      <x:c r="B28" s="3" t="str">
        <x:v>运营流程</x:v>
      </x:c>
      <x:c r="C28" s="3" t="str">
        <x:v>pdata_news_n.t02_cstd_prd_liqd_info</x:v>
      </x:c>
      <x:c r="D28" s="3" t="str">
        <x:v>托管产品清盘信息</x:v>
      </x:c>
      <x:c r="E28" s="3" t="str">
        <x:v>托管产品清盘资料，参与共用模型。</x:v>
      </x:c>
      <x:c r="F28" s="21" t="str">
        <x:v>加工 71716</x:v>
      </x:c>
      <x:c r="G28" s="3" t="str">
        <x:v>共用模型</x:v>
      </x:c>
    </x:row>
    <x:row r="29" ht="36" customHeight="1">
      <x:c r="A29" s="3" t="str">
        <x:v>产品共用模型支撑</x:v>
      </x:c>
      <x:c r="B29" s="3" t="str">
        <x:v>运营流程</x:v>
      </x:c>
      <x:c r="C29" s="3" t="str">
        <x:v>pdata_news_n.t02_cstd_prd_liqd_info_ext</x:v>
      </x:c>
      <x:c r="D29" s="3" t="str">
        <x:v>托管产品清盘信息扩展表</x:v>
      </x:c>
      <x:c r="E29" s="3" t="str">
        <x:v>托管产品清盘扩展资料，参与共用模型。</x:v>
      </x:c>
      <x:c r="F29" s="21" t="str">
        <x:v>加工 71716</x:v>
      </x:c>
      <x:c r="G29" s="3" t="str">
        <x:v>共用模型</x:v>
      </x:c>
    </x:row>
    <x:row r="30" ht="44" customHeight="1">
      <x:c r="A30" s="3" t="str">
        <x:v>产品共用模型支撑</x:v>
      </x:c>
      <x:c r="B30" s="3" t="str">
        <x:v>机构资料</x:v>
      </x:c>
      <x:c r="C30" s="3" t="str">
        <x:v>pdata_news_n.t02_cstd_prd_org_prtc</x:v>
      </x:c>
      <x:c r="D30" s="3" t="str">
        <x:v>托管产品机构参与者</x:v>
      </x:c>
      <x:c r="E30" s="3" t="str">
        <x:v>71716 限定 MOT 范围，提供管理人等参与机构资料。</x:v>
      </x:c>
      <x:c r="F30" s="21" t="str">
        <x:v>加工 71716</x:v>
      </x:c>
      <x:c r="G30" s="3" t="str">
        <x:v>共用模型</x:v>
      </x:c>
    </x:row>
    <x:row r="31" ht="36" customHeight="1">
      <x:c r="A31" s="3" t="str">
        <x:v>产品共用模型支撑</x:v>
      </x:c>
      <x:c r="B31" s="3" t="str">
        <x:v>产品与合约</x:v>
      </x:c>
      <x:c r="C31" s="3" t="str">
        <x:v>pdata_news_n.t02_cstd_stru_fnd_info</x:v>
      </x:c>
      <x:c r="D31" s="3" t="str">
        <x:v>托管产品分级信息</x:v>
      </x:c>
      <x:c r="E31" s="3" t="str">
        <x:v>托管产品分级资料，参与共用模型。</x:v>
      </x:c>
      <x:c r="F31" s="21" t="str">
        <x:v>加工 71716</x:v>
      </x:c>
      <x:c r="G31" s="3" t="str">
        <x:v>共用模型</x:v>
      </x:c>
    </x:row>
    <x:row r="32" ht="44" customHeight="1">
      <x:c r="A32" s="3" t="str">
        <x:v>产品共用模型支撑</x:v>
      </x:c>
      <x:c r="B32" s="3" t="str">
        <x:v>产品与合约</x:v>
      </x:c>
      <x:c r="C32" s="3" t="str">
        <x:v>pdata_news_n.t02_scr_base_info</x:v>
      </x:c>
      <x:c r="D32" s="3" t="str">
        <x:v>证券基本信息</x:v>
      </x:c>
      <x:c r="E32" s="3" t="str">
        <x:v>71716 限定 MOT 范围，作为托管产品标识基础；其他证券来源不继续展开。</x:v>
      </x:c>
      <x:c r="F32" s="21" t="str">
        <x:v>加工 71716</x:v>
      </x:c>
      <x:c r="G32" s="3" t="str">
        <x:v>共用模型</x:v>
      </x:c>
    </x:row>
    <x:row r="33" ht="36" customHeight="1">
      <x:c r="A33" s="3" t="str">
        <x:v>产品共用模型支撑</x:v>
      </x:c>
      <x:c r="B33" s="3" t="str">
        <x:v>产品与合约</x:v>
      </x:c>
      <x:c r="C33" s="3" t="str">
        <x:v>pdata_news_n.t02_tmc_fin_info</x:v>
      </x:c>
      <x:c r="D33" s="3" t="str">
        <x:v>托管管理人系统产品基本信息</x:v>
      </x:c>
      <x:c r="E33" s="3" t="str">
        <x:v>托管管理人系统产品资料，参与共用模型。</x:v>
      </x:c>
      <x:c r="F33" s="21" t="str">
        <x:v>加工 71716</x:v>
      </x:c>
      <x:c r="G33" s="3" t="str">
        <x:v>共用模型</x:v>
      </x:c>
    </x:row>
    <x:row r="34" ht="44" customHeight="1">
      <x:c r="A34" s="3" t="str">
        <x:v>产品共用模型支撑</x:v>
      </x:c>
      <x:c r="B34" s="3" t="str">
        <x:v>产品与合约</x:v>
      </x:c>
      <x:c r="C34" s="3" t="str">
        <x:v>query_upload.cstd_prd_rgst_info_sg</x:v>
      </x:c>
      <x:c r="D34" s="3" t="str">
        <x:v>表注释未收录</x:v>
      </x:c>
      <x:c r="E34" s="3" t="str">
        <x:v>产品备案补充资料，参与共用模型；说明来自任务 SQL。</x:v>
      </x:c>
      <x:c r="F34" s="21" t="str">
        <x:v>加工 71716</x:v>
      </x:c>
      <x:c r="G34" s="3" t="str">
        <x:v>手工补充资料</x:v>
      </x:c>
    </x:row>
  </x:sheetData>
  <x:pageMargins left="0.7" right="0.7" top="0.75" bottom="0.75" header="0.3" footer="0.3"/>
  <x:tableParts count="1">
    <x:tablePart xmlns:r="http://schemas.openxmlformats.org/officeDocument/2006/relationships" r:id="R3f91597b2a474f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25" hidden="0" customWidth="1"/>
    <x:col min="4" max="4" width="63" hidden="0" customWidth="1"/>
    <x:col min="5" max="5" width="52" hidden="0" customWidth="1"/>
    <x:col min="6" max="6" width="45" hidden="0" customWidth="1"/>
  </x:cols>
  <x:sheetData>
    <x:row r="1" ht="30" customHeight="1">
      <x:c r="A1" s="5" t="str">
        <x:v>调度与依据</x:v>
      </x:c>
      <x:c r="B1" s="4"/>
      <x:c r="C1" s="4"/>
      <x:c r="D1" s="4"/>
      <x:c r="E1" s="4"/>
      <x:c r="F1" s="4"/>
    </x:row>
    <x:row r="2" ht="22" customHeight="1">
      <x:c r="A2" s="6" t="str">
        <x:v>任务名称取调度目录。列入目录不表示当前已启用或最近一次运行成功。</x:v>
      </x:c>
      <x:c r="B2" s="4"/>
      <x:c r="C2" s="4"/>
      <x:c r="D2" s="4"/>
      <x:c r="E2" s="4"/>
      <x:c r="F2" s="4"/>
    </x:row>
    <x:row r="3" ht="8" customHeight="1">
      <x:c r="A3" s="7"/>
      <x:c r="B3" s="7"/>
      <x:c r="C3" s="7"/>
      <x:c r="D3" s="7"/>
      <x:c r="E3" s="7"/>
      <x:c r="F3" s="7"/>
    </x:row>
    <x:row r="4">
      <x:c r="A4" s="3"/>
      <x:c r="B4" s="3"/>
      <x:c r="C4" s="3"/>
      <x:c r="D4" s="3"/>
      <x:c r="E4" s="3"/>
      <x:c r="F4" s="3"/>
    </x:row>
    <x:row r="5" ht="30" customHeight="1">
      <x:c r="A5" s="16" t="str">
        <x:v>调度 ID</x:v>
      </x:c>
      <x:c r="B5" s="17" t="str">
        <x:v>所属阶段</x:v>
      </x:c>
      <x:c r="C5" s="17" t="str">
        <x:v>分支</x:v>
      </x:c>
      <x:c r="D5" s="17" t="str">
        <x:v>目录中的任务名称</x:v>
      </x:c>
      <x:c r="E5" s="17" t="str">
        <x:v>用途</x:v>
      </x:c>
      <x:c r="F5" s="18" t="str">
        <x:v>本次依据</x:v>
      </x:c>
    </x:row>
    <x:row r="6" ht="36" customHeight="1">
      <x:c r="A6" s="21" t="str">
        <x:v>101329</x:v>
      </x:c>
      <x:c r="B6" s="3" t="str">
        <x:v>监控入模</x:v>
      </x:c>
      <x:c r="C6" s="3" t="str">
        <x:v>常规</x:v>
      </x:c>
      <x:c r="D6" s="3" t="str">
        <x:v>PDATA_N.T05_CSTD_CPS_MONTR_RSLT_CPS003</x:v>
      </x:c>
      <x:c r="E6" s="3" t="str">
        <x:v>已有监控结果进入统一模型。</x:v>
      </x:c>
      <x:c r="F6" s="3" t="str">
        <x:v>图谱和 SQL</x:v>
      </x:c>
    </x:row>
    <x:row r="7" ht="36" customHeight="1">
      <x:c r="A7" s="21" t="str">
        <x:v>200759</x:v>
      </x:c>
      <x:c r="B7" s="3" t="str">
        <x:v>监控入模</x:v>
      </x:c>
      <x:c r="C7" s="3" t="str">
        <x:v>H15</x:v>
      </x:c>
      <x:c r="D7" s="3" t="str">
        <x:v>PDATA_N.T05_CSTD_CPS_MONTR_RSLT_CPS003_H15</x:v>
      </x:c>
      <x:c r="E7" s="3" t="str">
        <x:v>PB 监控结果进入同一统一模型。</x:v>
      </x:c>
      <x:c r="F7" s="3" t="str">
        <x:v>图谱和 SQL</x:v>
      </x:c>
    </x:row>
    <x:row r="8" ht="36" customHeight="1">
      <x:c r="A8" s="21" t="str">
        <x:v>136152</x:v>
      </x:c>
      <x:c r="B8" s="3" t="str">
        <x:v>产品清单</x:v>
      </x:c>
      <x:c r="C8" s="3" t="str">
        <x:v>常规</x:v>
      </x:c>
      <x:c r="D8" s="3" t="str">
        <x:v>pdata_news_n.t02_fin_spvs_prd_list_CPS_h_tport_grp01</x:v>
      </x:c>
      <x:c r="E8" s="3" t="str">
        <x:v>目录指向 CPS 产品清单任务。</x:v>
      </x:c>
      <x:c r="F8" s="3" t="str">
        <x:v>仅目录及 DDL；加工 SQL 缺失</x:v>
      </x:c>
    </x:row>
    <x:row r="9" ht="36" customHeight="1">
      <x:c r="A9" s="21" t="str">
        <x:v>198734</x:v>
      </x:c>
      <x:c r="B9" s="3" t="str">
        <x:v>产品清单</x:v>
      </x:c>
      <x:c r="C9" s="3" t="str">
        <x:v>H15</x:v>
      </x:c>
      <x:c r="D9" s="3" t="str">
        <x:v>pdata_news_n.t02_fin_spvs_prd_list_p_CPS_tport_pb_grp01</x:v>
      </x:c>
      <x:c r="E9" s="3" t="str">
        <x:v>目录指向 CPS 时点产品清单任务。</x:v>
      </x:c>
      <x:c r="F9" s="3" t="str">
        <x:v>仅目录及 DDL；加工 SQL 缺失</x:v>
      </x:c>
    </x:row>
    <x:row r="10" ht="36" customHeight="1">
      <x:c r="A10" s="21" t="str">
        <x:v>71716</x:v>
      </x:c>
      <x:c r="B10" s="3" t="str">
        <x:v>产品资料整合</x:v>
      </x:c>
      <x:c r="C10" s="3" t="str">
        <x:v>共用</x:v>
      </x:c>
      <x:c r="D10" s="3" t="str">
        <x:v>PDATA_N.T98_CSTD_PRD_BASE_INFO</x:v>
      </x:c>
      <x:c r="E10" s="3" t="str">
        <x:v>多表关联、去重、资料补充，形成托管产品共用模型。</x:v>
      </x:c>
      <x:c r="F10" s="3" t="str">
        <x:v>图谱和关键 SQL</x:v>
      </x:c>
    </x:row>
    <x:row r="11" ht="36" customHeight="1">
      <x:c r="A11" s="21" t="str">
        <x:v>156181</x:v>
      </x:c>
      <x:c r="B11" s="3" t="str">
        <x:v>接口准备</x:v>
      </x:c>
      <x:c r="C11" s="3" t="str">
        <x:v>常规</x:v>
      </x:c>
      <x:c r="D11" s="3" t="str">
        <x:v>dm_otc_n.titans_cstd_prd_montr_rslt</x:v>
      </x:c>
      <x:c r="E11" s="3" t="str">
        <x:v>三组输入关联并按账套、日期、规则筛选。</x:v>
      </x:c>
      <x:c r="F11" s="3" t="str">
        <x:v>图谱和完整查询 SQL</x:v>
      </x:c>
    </x:row>
    <x:row r="12" ht="36" customHeight="1">
      <x:c r="A12" s="21" t="str">
        <x:v>164968</x:v>
      </x:c>
      <x:c r="B12" s="3" t="str">
        <x:v>接口准备</x:v>
      </x:c>
      <x:c r="C12" s="3" t="str">
        <x:v>H15</x:v>
      </x:c>
      <x:c r="D12" s="3" t="str">
        <x:v>dm_otc_n.titans_cstd_prd_montr_rslt_h15</x:v>
      </x:c>
      <x:c r="E12" s="3" t="str">
        <x:v>使用 H15 产品清单，形成同一个接口结果。</x:v>
      </x:c>
      <x:c r="F12" s="3" t="str">
        <x:v>图谱和完整查询 SQL</x:v>
      </x:c>
    </x:row>
    <x:row r="13" ht="36" customHeight="1">
      <x:c r="A13" s="21" t="str">
        <x:v>156192</x:v>
      </x:c>
      <x:c r="B13" s="3" t="str">
        <x:v>推送</x:v>
      </x:c>
      <x:c r="C13" s="3" t="str">
        <x:v>常规目录分支</x:v>
      </x:c>
      <x:c r="D13" s="3" t="str">
        <x:v>titans_etl.trans_hedge_monitor_result</x:v>
      </x:c>
      <x:c r="E13" s="3" t="str">
        <x:v>字段映射、日期转换，写入 TIT 监控结果表。</x:v>
      </x:c>
      <x:c r="F13" s="3" t="str">
        <x:v>图谱和推送 SQL</x:v>
      </x:c>
    </x:row>
    <x:row r="14" ht="36" customHeight="1">
      <x:c r="A14" s="21" t="str">
        <x:v>228530</x:v>
      </x:c>
      <x:c r="B14" s="3" t="str">
        <x:v>推送</x:v>
      </x:c>
      <x:c r="C14" s="3" t="str">
        <x:v>常规目录分支</x:v>
      </x:c>
      <x:c r="D14" s="3" t="str">
        <x:v>gdb.titans_etl.trans_hedge_monitor_result</x:v>
      </x:c>
      <x:c r="E14" s="3" t="str">
        <x:v>目录名含 gdb；图谱映射至同一接收表。</x:v>
      </x:c>
      <x:c r="F14" s="3" t="str">
        <x:v>图谱和推送 SQL</x:v>
      </x:c>
    </x:row>
    <x:row r="15" ht="36" customHeight="1">
      <x:c r="A15" s="21" t="str">
        <x:v>156763</x:v>
      </x:c>
      <x:c r="B15" s="3" t="str">
        <x:v>推送</x:v>
      </x:c>
      <x:c r="C15" s="3" t="str">
        <x:v>H15 目录分支</x:v>
      </x:c>
      <x:c r="D15" s="3" t="str">
        <x:v>titans_etl.trans_hedge_monitor_result_h15</x:v>
      </x:c>
      <x:c r="E15" s="3" t="str">
        <x:v>相同接收表的时点推送记录。</x:v>
      </x:c>
      <x:c r="F15" s="3" t="str">
        <x:v>图谱和推送 SQL</x:v>
      </x:c>
    </x:row>
    <x:row r="16" ht="36" customHeight="1">
      <x:c r="A16" s="21" t="str">
        <x:v>228532</x:v>
      </x:c>
      <x:c r="B16" s="3" t="str">
        <x:v>推送</x:v>
      </x:c>
      <x:c r="C16" s="3" t="str">
        <x:v>H15 目录分支</x:v>
      </x:c>
      <x:c r="D16" s="3" t="str">
        <x:v>gdb.titans_etl.trans_hedge_monitor_result_h15</x:v>
      </x:c>
      <x:c r="E16" s="3" t="str">
        <x:v>目录名含 gdb；图谱映射至同一接收表。</x:v>
      </x:c>
      <x:c r="F16" s="3" t="str">
        <x:v>图谱和推送 SQL</x:v>
      </x:c>
    </x:row>
    <x:row r="17" ht="36" customHeight="1">
      <x:c r="A17" s="21" t="str">
        <x:v>93399</x:v>
      </x:c>
      <x:c r="B17" s="3" t="str">
        <x:v>采集目录</x:v>
      </x:c>
      <x:c r="C17" s="3" t="str">
        <x:v>常规</x:v>
      </x:c>
      <x:c r="D17" s="3" t="str">
        <x:v>odata_n_cps.h_tmonitorresults_i</x:v>
      </x:c>
      <x:c r="E17" s="3" t="str">
        <x:v>监控结果采集线索。</x:v>
      </x:c>
      <x:c r="F17" s="3" t="str">
        <x:v>任务目录；不据此补出缺失源端表</x:v>
      </x:c>
    </x:row>
    <x:row r="18" ht="36" customHeight="1">
      <x:c r="A18" s="21" t="str">
        <x:v>161363</x:v>
      </x:c>
      <x:c r="B18" s="3" t="str">
        <x:v>采集目录</x:v>
      </x:c>
      <x:c r="C18" s="3" t="str">
        <x:v>H15</x:v>
      </x:c>
      <x:c r="D18" s="3" t="str">
        <x:v>odata_n_cps.h_tmonitorresults_pb_h15_i</x:v>
      </x:c>
      <x:c r="E18" s="3" t="str">
        <x:v>PB 监控结果采集线索。</x:v>
      </x:c>
      <x:c r="F18" s="3" t="str">
        <x:v>任务目录</x:v>
      </x:c>
    </x:row>
    <x:row r="19" ht="36" customHeight="1">
      <x:c r="A19" s="21" t="str">
        <x:v>93397</x:v>
      </x:c>
      <x:c r="B19" s="3" t="str">
        <x:v>采集目录</x:v>
      </x:c>
      <x:c r="C19" s="3" t="str">
        <x:v>常规</x:v>
      </x:c>
      <x:c r="D19" s="3" t="str">
        <x:v>odata_n_cps.h_tport_f</x:v>
      </x:c>
      <x:c r="E19" s="3" t="str">
        <x:v>CPS 账户表采集线索。</x:v>
      </x:c>
      <x:c r="F19" s="3" t="str">
        <x:v>任务目录</x:v>
      </x:c>
    </x:row>
    <x:row r="20" ht="36" customHeight="1">
      <x:c r="A20" s="21" t="str">
        <x:v>161364</x:v>
      </x:c>
      <x:c r="B20" s="3" t="str">
        <x:v>采集目录</x:v>
      </x:c>
      <x:c r="C20" s="3" t="str">
        <x:v>H15</x:v>
      </x:c>
      <x:c r="D20" s="3" t="str">
        <x:v>odata_n_cps.h_tport_pb_h15_f</x:v>
      </x:c>
      <x:c r="E20" s="3" t="str">
        <x:v>PB 账户表采集线索；未作为产品清单已确认源头。</x:v>
      </x:c>
      <x:c r="F20" s="3" t="str">
        <x:v>任务目录；与清单的接续待核</x:v>
      </x:c>
    </x:row>
    <x:row r="21">
      <x:c r="A21" s="3"/>
      <x:c r="B21" s="3"/>
      <x:c r="C21" s="3"/>
      <x:c r="D21" s="3"/>
      <x:c r="E21" s="3"/>
      <x:c r="F21" s="3"/>
    </x:row>
    <x:row r="22">
      <x:c r="A22" s="3"/>
      <x:c r="B22" s="3"/>
      <x:c r="C22" s="3"/>
      <x:c r="D22" s="3"/>
      <x:c r="E22" s="3"/>
      <x:c r="F22" s="3"/>
    </x:row>
    <x:row r="23" ht="30" customHeight="1">
      <x:c r="A23" s="16" t="str">
        <x:v>来源</x:v>
      </x:c>
      <x:c r="B23" s="17" t="str">
        <x:v>快照／核对</x:v>
      </x:c>
      <x:c r="C23" s="18" t="str">
        <x:v>用途</x:v>
      </x:c>
      <x:c r="D23" s="3"/>
      <x:c r="E23" s="3"/>
      <x:c r="F23" s="3"/>
    </x:row>
    <x:row r="24" ht="55" customHeight="1">
      <x:c r="A24" s="3" t="str">
        <x:v>已发布图</x:v>
      </x:c>
      <x:c r="B24" s="3" t="str">
        <x:v>2026-09-16 / 2026-09-18</x:v>
      </x:c>
      <x:c r="C24" s="3" t="str">
        <x:v>任务读写、主链、接收表去重</x:v>
      </x:c>
      <x:c r="D24" s="3" t="str">
        <x:v>图版本：9dbe562350452a41ae13c1b95f260a631fce9d2f9b8dceeba43e79dbf65f7c02</x:v>
      </x:c>
      <x:c r="E24" s="3"/>
      <x:c r="F24" s="3"/>
    </x:row>
    <x:row r="25" ht="52" customHeight="1">
      <x:c r="A25" s="3" t="str">
        <x:v>任务 SQL</x:v>
      </x:c>
      <x:c r="B25" s="3" t="str">
        <x:v>同一发布图＋本地证据</x:v>
      </x:c>
      <x:c r="C25" s="3" t="str">
        <x:v>输入分支、关联加工和推送方式</x:v>
      </x:c>
      <x:c r="D25" s="3" t="str">
        <x:v>只使用结构、SQL 和目录证据；未查询业务数据行。</x:v>
      </x:c>
      <x:c r="E25" s="3"/>
      <x:c r="F25" s="3"/>
    </x:row>
    <x:row r="26" ht="52" customHeight="1">
      <x:c r="A26" s="3" t="str">
        <x:v>调度目录</x:v>
      </x:c>
      <x:c r="B26" s="3" t="str">
        <x:v>2026-09-04 目录记录</x:v>
      </x:c>
      <x:c r="C26" s="3" t="str">
        <x:v>任务 ID、任务名称及分支导航</x:v>
      </x:c>
      <x:c r="D26" s="3" t="str">
        <x:v>136152、198734 只有 DDL；没有把目录指向补成已确认的源端接续。</x:v>
      </x:c>
      <x:c r="E26" s="3"/>
      <x:c r="F26" s="3"/>
    </x:row>
    <x:row r="27" ht="52" customHeight="1">
      <x:c r="A27" s="3" t="str">
        <x:v>表元数据</x:v>
      </x:c>
      <x:c r="B27" s="3" t="str">
        <x:v>2026-09-16 快照</x:v>
      </x:c>
      <x:c r="C27" s="3" t="str">
        <x:v>原表注释；缺失处明确留空缺</x:v>
      </x:c>
      <x:c r="D27" s="3" t="str">
        <x:v>各表的作用解释与原表注释分列；不由 schema 名称直接判定“资讯”。</x:v>
      </x:c>
      <x:c r="E27" s="3"/>
      <x:c r="F27" s="3"/>
    </x:row>
    <x:row r="28" ht="52" customHeight="1">
      <x:c r="A28" s="3" t="str">
        <x:v>旧来源盘点</x:v>
      </x:c>
      <x:c r="B28" s="3" t="str">
        <x:v>2026-09-18 整理数据</x:v>
      </x:c>
      <x:c r="C28" s="3" t="str">
        <x:v>仅复用已有采集源端表和采集 ID</x:v>
      </x:c>
      <x:c r="D28" s="3" t="str">
        <x:v>未继承旧清单的实际供数归属、目标扩散和全量数量。</x:v>
      </x:c>
      <x:c r="E28" s="3"/>
      <x:c r="F28" s="3"/>
    </x:row>
    <x:row r="29">
      <x:c r="A29" s="3"/>
      <x:c r="B29" s="3"/>
      <x:c r="C29" s="3"/>
      <x:c r="D29" s="3"/>
      <x:c r="E29" s="3"/>
      <x:c r="F29" s="3"/>
    </x:row>
    <x:row r="30">
      <x:c r="A30" s="3"/>
      <x:c r="B30" s="3"/>
      <x:c r="C30" s="3"/>
      <x:c r="D30" s="3"/>
      <x:c r="E30" s="3"/>
      <x:c r="F30" s="3"/>
    </x:row>
    <x:row r="31">
      <x:c r="A31" s="3"/>
      <x:c r="B31" s="3"/>
      <x:c r="C31" s="3"/>
      <x:c r="D31" s="3"/>
      <x:c r="E31" s="3"/>
      <x:c r="F31" s="3"/>
    </x:row>
  </x:sheetData>
  <x:pageMargins left="0.7" right="0.7" top="0.75" bottom="0.75" header="0.3" footer="0.3"/>
  <x:tableParts count="1">
    <x:tablePart xmlns:r="http://schemas.openxmlformats.org/officeDocument/2006/relationships" r:id="R61d5ab6039e3451c"/>
  </x:tableParts>
</x:worksheet>
</file>